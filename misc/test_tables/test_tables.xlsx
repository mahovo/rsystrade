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vpbp13/git/rsystrade/misc/test_tables/"/>
    </mc:Choice>
  </mc:AlternateContent>
  <xr:revisionPtr revIDLastSave="0" documentId="13_ncr:1_{FC4078CF-2820-094E-8BB9-21F9E3322EC6}" xr6:coauthVersionLast="47" xr6:coauthVersionMax="47" xr10:uidLastSave="{00000000-0000-0000-0000-000000000000}"/>
  <bookViews>
    <workbookView xWindow="40" yWindow="500" windowWidth="25560" windowHeight="15500" activeTab="1" xr2:uid="{532798FA-4A9A-6B4D-A38B-23D88F9986C1}"/>
  </bookViews>
  <sheets>
    <sheet name="signal1" sheetId="1" r:id="rId1"/>
    <sheet name="position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11" i="2"/>
  <c r="C12" i="2"/>
  <c r="C13" i="2"/>
  <c r="C14" i="2"/>
  <c r="C15" i="2"/>
  <c r="C16" i="2"/>
  <c r="C17" i="2"/>
  <c r="C18" i="2"/>
  <c r="C19" i="2"/>
  <c r="C20" i="2"/>
  <c r="C21" i="2"/>
  <c r="C5" i="2"/>
  <c r="C6" i="2"/>
  <c r="C7" i="2"/>
  <c r="C8" i="2"/>
  <c r="C9" i="2"/>
  <c r="V9" i="2"/>
  <c r="V21" i="2"/>
  <c r="V10" i="2"/>
  <c r="V11" i="2"/>
  <c r="V12" i="2"/>
  <c r="V13" i="2"/>
  <c r="V14" i="2"/>
  <c r="V15" i="2"/>
  <c r="V16" i="2"/>
  <c r="V17" i="2"/>
  <c r="V18" i="2"/>
  <c r="V19" i="2"/>
  <c r="V20" i="2"/>
  <c r="D21" i="2" l="1"/>
  <c r="D19" i="2"/>
  <c r="D13" i="2"/>
  <c r="D17" i="2"/>
  <c r="D12" i="2"/>
  <c r="D18" i="2"/>
  <c r="D16" i="2"/>
  <c r="D15" i="2"/>
  <c r="D20" i="2"/>
  <c r="D14" i="2"/>
</calcChain>
</file>

<file path=xl/sharedStrings.xml><?xml version="1.0" encoding="utf-8"?>
<sst xmlns="http://schemas.openxmlformats.org/spreadsheetml/2006/main" count="36" uniqueCount="34">
  <si>
    <t>price</t>
  </si>
  <si>
    <t>time</t>
  </si>
  <si>
    <t>raw_signal</t>
  </si>
  <si>
    <t>normalized_signal</t>
  </si>
  <si>
    <t>clamped_signal</t>
  </si>
  <si>
    <t>signal_weight</t>
  </si>
  <si>
    <t>instrument_risk</t>
  </si>
  <si>
    <t>instrument_risk_target</t>
  </si>
  <si>
    <t>raw_combined_signal</t>
  </si>
  <si>
    <t>rescaled_combined_signal</t>
  </si>
  <si>
    <t>clamped_raw_combined_signal</t>
  </si>
  <si>
    <t>required_leverage_factor</t>
  </si>
  <si>
    <t>signal_div_mult</t>
  </si>
  <si>
    <t>instrument_weight</t>
  </si>
  <si>
    <t>inst_div_mult</t>
  </si>
  <si>
    <t>notional_exposure</t>
  </si>
  <si>
    <t>target_position_size_units</t>
  </si>
  <si>
    <t>position_size_units</t>
  </si>
  <si>
    <t>position_size_ccy</t>
  </si>
  <si>
    <t>direction</t>
  </si>
  <si>
    <t>subsystem_position</t>
  </si>
  <si>
    <t>enter_or_exit</t>
  </si>
  <si>
    <t>t_last_position_entry</t>
  </si>
  <si>
    <t>instrument_returns</t>
  </si>
  <si>
    <t>subsystem_pandl</t>
  </si>
  <si>
    <t>borrowed_asset_ccy</t>
  </si>
  <si>
    <t>trade_on</t>
  </si>
  <si>
    <t>returns_from_prices</t>
  </si>
  <si>
    <t>final_target_pos_size_units</t>
  </si>
  <si>
    <t>final_pos_size_units</t>
  </si>
  <si>
    <t>final_pos_size_ccy</t>
  </si>
  <si>
    <t>final_pos_change_ccy</t>
  </si>
  <si>
    <t>final_target_pos_change_units</t>
  </si>
  <si>
    <t>final_pos_change_units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</si>
</sst>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3">
    <font>
      <sz val="12"/>
      <color theme="1"/>
      <name val="游ゴシック"/>
      <family val="2"/>
    </font>
    <font>
      <b/>
      <sz val="12"/>
      <color theme="1"/>
      <name val="游ゴシック"/>
      <charset val="128"/>
    </font>
    <font>
      <sz val="12"/>
      <color rgb="FF000000"/>
      <name val="游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FFCAC4"/>
        <bgColor indexed="64"/>
      </patternFill>
    </fill>
    <fill>
      <patternFill patternType="solid">
        <fgColor rgb="FFFFCA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  <xf numFmtId="0" fontId="2" fillId="3" borderId="0" xfId="0" applyFont="1" applyFill="1"/>
    <xf numFmtId="0" fontId="2" fillId="0" borderId="0" xfId="0" applyFon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4D9B-7AE9-B041-8C3B-A1603B99435B}">
  <dimension ref="A1:F21"/>
  <sheetViews>
    <sheetView workbookViewId="0">
      <selection activeCell="C13" sqref="C13"/>
    </sheetView>
  </sheetViews>
  <sheetFormatPr baseColWidth="10" defaultRowHeight="20"/>
  <cols>
    <col min="4" max="4" width="15.5703125" bestFit="1" customWidth="1"/>
    <col min="5" max="5" width="13.5703125" bestFit="1" customWidth="1"/>
    <col min="6" max="6" width="12.140625" bestFit="1" customWidth="1"/>
  </cols>
  <sheetData>
    <row r="1" spans="1:6" s="1" customForma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s="2">
        <v>1</v>
      </c>
      <c r="B2" s="5">
        <v>100</v>
      </c>
    </row>
    <row r="3" spans="1:6" s="2" customFormat="1">
      <c r="A3" s="2">
        <v>2</v>
      </c>
      <c r="B3" s="5">
        <v>100.01</v>
      </c>
    </row>
    <row r="4" spans="1:6" s="2" customFormat="1">
      <c r="A4" s="2">
        <v>3</v>
      </c>
      <c r="B4" s="5">
        <v>100.02</v>
      </c>
    </row>
    <row r="5" spans="1:6" s="2" customFormat="1">
      <c r="A5" s="2">
        <v>4</v>
      </c>
      <c r="B5" s="5">
        <v>100.03</v>
      </c>
    </row>
    <row r="6" spans="1:6" s="2" customFormat="1">
      <c r="A6" s="2">
        <v>5</v>
      </c>
      <c r="B6" s="5">
        <v>100.04</v>
      </c>
    </row>
    <row r="7" spans="1:6" s="2" customFormat="1">
      <c r="A7" s="2">
        <v>6</v>
      </c>
      <c r="B7" s="5">
        <v>100.05</v>
      </c>
    </row>
    <row r="8" spans="1:6" s="2" customFormat="1">
      <c r="A8" s="2">
        <v>7</v>
      </c>
      <c r="B8" s="5">
        <v>100.04</v>
      </c>
    </row>
    <row r="9" spans="1:6">
      <c r="A9">
        <v>8</v>
      </c>
      <c r="B9" s="6">
        <v>100.03</v>
      </c>
    </row>
    <row r="10" spans="1:6">
      <c r="A10">
        <v>9</v>
      </c>
      <c r="B10" s="6">
        <v>100.04</v>
      </c>
    </row>
    <row r="11" spans="1:6">
      <c r="A11">
        <v>10</v>
      </c>
      <c r="B11" s="6">
        <v>100.05</v>
      </c>
    </row>
    <row r="12" spans="1:6">
      <c r="A12">
        <v>11</v>
      </c>
      <c r="B12" s="6">
        <v>100.06</v>
      </c>
    </row>
    <row r="13" spans="1:6">
      <c r="A13">
        <v>12</v>
      </c>
      <c r="B13" s="6">
        <v>100.07</v>
      </c>
    </row>
    <row r="14" spans="1:6">
      <c r="A14">
        <v>13</v>
      </c>
      <c r="B14" s="6">
        <v>100.08</v>
      </c>
    </row>
    <row r="15" spans="1:6">
      <c r="A15">
        <v>14</v>
      </c>
      <c r="B15" s="6">
        <v>100.09</v>
      </c>
    </row>
    <row r="16" spans="1:6">
      <c r="A16">
        <v>15</v>
      </c>
      <c r="B16" s="6">
        <v>100.1</v>
      </c>
    </row>
    <row r="17" spans="1:2">
      <c r="A17">
        <v>16</v>
      </c>
      <c r="B17" s="6">
        <v>100.09</v>
      </c>
    </row>
    <row r="18" spans="1:2">
      <c r="A18">
        <v>17</v>
      </c>
      <c r="B18" s="6">
        <v>100.08</v>
      </c>
    </row>
    <row r="19" spans="1:2">
      <c r="A19">
        <v>18</v>
      </c>
      <c r="B19" s="6">
        <v>100.07</v>
      </c>
    </row>
    <row r="20" spans="1:2">
      <c r="A20">
        <v>19</v>
      </c>
      <c r="B20" s="6">
        <v>100.06</v>
      </c>
    </row>
    <row r="21" spans="1:2">
      <c r="A21">
        <v>20</v>
      </c>
      <c r="B21" s="6">
        <v>100.05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C0A3-6F39-8444-8CD9-E13F4DB29A57}">
  <dimension ref="A1:AD21"/>
  <sheetViews>
    <sheetView tabSelected="1" topLeftCell="X1" workbookViewId="0">
      <selection activeCell="AE1" sqref="AE1:AE1048576"/>
    </sheetView>
  </sheetViews>
  <sheetFormatPr baseColWidth="10" defaultRowHeight="20"/>
  <cols>
    <col min="1" max="1" width="4.7109375" bestFit="1" customWidth="1"/>
    <col min="2" max="2" width="7" bestFit="1" customWidth="1"/>
    <col min="3" max="3" width="17.85546875" bestFit="1" customWidth="1"/>
    <col min="4" max="4" width="13.85546875" bestFit="1" customWidth="1"/>
    <col min="5" max="5" width="20" bestFit="1" customWidth="1"/>
    <col min="6" max="6" width="18.7109375" bestFit="1" customWidth="1"/>
    <col min="7" max="7" width="22.7109375" bestFit="1" customWidth="1"/>
    <col min="8" max="8" width="26.85546875" bestFit="1" customWidth="1"/>
    <col min="9" max="9" width="22" bestFit="1" customWidth="1"/>
    <col min="10" max="10" width="13.42578125" bestFit="1" customWidth="1"/>
    <col min="11" max="11" width="16.5703125" bestFit="1" customWidth="1"/>
    <col min="12" max="12" width="11.7109375" bestFit="1" customWidth="1"/>
    <col min="13" max="13" width="15.85546875" bestFit="1" customWidth="1"/>
    <col min="14" max="14" width="22.5703125" bestFit="1" customWidth="1"/>
    <col min="15" max="15" width="16.42578125" bestFit="1" customWidth="1"/>
    <col min="16" max="16" width="15.140625" bestFit="1" customWidth="1"/>
    <col min="17" max="17" width="8.28515625" bestFit="1" customWidth="1"/>
    <col min="18" max="18" width="17.140625" bestFit="1" customWidth="1"/>
    <col min="19" max="19" width="11.85546875" bestFit="1" customWidth="1"/>
    <col min="20" max="20" width="18.140625" bestFit="1" customWidth="1"/>
    <col min="21" max="21" width="8.28515625" bestFit="1" customWidth="1"/>
    <col min="22" max="22" width="17" bestFit="1" customWidth="1"/>
    <col min="23" max="23" width="15" bestFit="1" customWidth="1"/>
    <col min="24" max="24" width="23.42578125" bestFit="1" customWidth="1"/>
    <col min="25" max="25" width="17.28515625" bestFit="1" customWidth="1"/>
    <col min="26" max="26" width="16.140625" bestFit="1" customWidth="1"/>
    <col min="27" max="27" width="19" bestFit="1" customWidth="1"/>
    <col min="28" max="28" width="26.42578125" bestFit="1" customWidth="1"/>
    <col min="29" max="29" width="20.140625" bestFit="1" customWidth="1"/>
    <col min="30" max="30" width="18" bestFit="1" customWidth="1"/>
  </cols>
  <sheetData>
    <row r="1" spans="1:30" s="1" customFormat="1">
      <c r="A1" s="1" t="s">
        <v>1</v>
      </c>
      <c r="B1" s="1" t="s">
        <v>0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26</v>
      </c>
      <c r="V1" s="1" t="s">
        <v>23</v>
      </c>
      <c r="W1" s="1" t="s">
        <v>24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25</v>
      </c>
    </row>
    <row r="2" spans="1:30" s="2" customFormat="1">
      <c r="A2" s="2">
        <v>1</v>
      </c>
      <c r="B2" s="3">
        <v>100</v>
      </c>
      <c r="C2" s="3"/>
      <c r="V2" s="3">
        <v>0</v>
      </c>
    </row>
    <row r="3" spans="1:30" s="2" customFormat="1">
      <c r="A3" s="2">
        <v>2</v>
      </c>
      <c r="B3" s="2">
        <v>100.01</v>
      </c>
      <c r="V3" s="3">
        <v>0</v>
      </c>
    </row>
    <row r="4" spans="1:30" s="2" customFormat="1">
      <c r="A4" s="2">
        <v>3</v>
      </c>
      <c r="B4" s="2">
        <v>100.02</v>
      </c>
      <c r="V4" s="3">
        <v>0</v>
      </c>
    </row>
    <row r="5" spans="1:30" s="2" customFormat="1">
      <c r="A5" s="2">
        <v>4</v>
      </c>
      <c r="B5" s="2">
        <v>100.03</v>
      </c>
      <c r="C5" s="7">
        <f t="shared" ref="C5:C21" si="0">(B5/B4) - 1</f>
        <v>9.9980003999355915E-5</v>
      </c>
      <c r="V5" s="3">
        <v>0</v>
      </c>
    </row>
    <row r="6" spans="1:30" s="2" customFormat="1">
      <c r="A6" s="2">
        <v>5</v>
      </c>
      <c r="B6" s="2">
        <v>100.04</v>
      </c>
      <c r="C6" s="7">
        <f t="shared" si="0"/>
        <v>9.9970008997418702E-5</v>
      </c>
      <c r="V6" s="3">
        <v>0</v>
      </c>
    </row>
    <row r="7" spans="1:30" s="2" customFormat="1">
      <c r="A7" s="2">
        <v>6</v>
      </c>
      <c r="B7" s="2">
        <v>100.05</v>
      </c>
      <c r="C7" s="7">
        <f t="shared" si="0"/>
        <v>9.9960015993438844E-5</v>
      </c>
      <c r="V7" s="3">
        <v>0</v>
      </c>
    </row>
    <row r="8" spans="1:30" s="2" customFormat="1">
      <c r="A8" s="2">
        <v>7</v>
      </c>
      <c r="B8" s="2">
        <v>100.04</v>
      </c>
      <c r="C8" s="7">
        <f t="shared" si="0"/>
        <v>-9.9950024987416342E-5</v>
      </c>
      <c r="V8" s="3">
        <v>0</v>
      </c>
    </row>
    <row r="9" spans="1:30" s="2" customFormat="1">
      <c r="A9" s="2">
        <v>8</v>
      </c>
      <c r="B9" s="2">
        <v>100.03</v>
      </c>
      <c r="C9" s="7">
        <f t="shared" si="0"/>
        <v>-9.9960015993660889E-5</v>
      </c>
      <c r="D9" s="7"/>
      <c r="V9" s="2">
        <f t="shared" ref="V9:V21" si="1">B9-B8</f>
        <v>-1.0000000000005116E-2</v>
      </c>
    </row>
    <row r="10" spans="1:30" s="2" customFormat="1">
      <c r="A10" s="2">
        <v>9</v>
      </c>
      <c r="B10" s="2">
        <v>100.04</v>
      </c>
      <c r="C10" s="7">
        <f t="shared" si="0"/>
        <v>9.9970008997418702E-5</v>
      </c>
      <c r="D10" s="7"/>
      <c r="V10" s="2">
        <f t="shared" si="1"/>
        <v>1.0000000000005116E-2</v>
      </c>
    </row>
    <row r="11" spans="1:30" s="2" customFormat="1">
      <c r="A11" s="2">
        <v>10</v>
      </c>
      <c r="B11" s="2">
        <v>100.05</v>
      </c>
      <c r="C11" s="7">
        <f t="shared" si="0"/>
        <v>9.9960015993438844E-5</v>
      </c>
      <c r="D11" s="7"/>
      <c r="V11" s="2">
        <f t="shared" si="1"/>
        <v>9.9999999999909051E-3</v>
      </c>
    </row>
    <row r="12" spans="1:30">
      <c r="A12">
        <v>11</v>
      </c>
      <c r="B12">
        <v>100.06</v>
      </c>
      <c r="C12" s="8">
        <f t="shared" si="0"/>
        <v>9.9950024987638386E-5</v>
      </c>
      <c r="D12" s="8">
        <f t="shared" ref="D12:D21" si="2">STDEV(C8:C12) * 15.87451</f>
        <v>1.7382267104910911E-3</v>
      </c>
      <c r="V12">
        <f t="shared" si="1"/>
        <v>1.0000000000005116E-2</v>
      </c>
    </row>
    <row r="13" spans="1:30">
      <c r="A13">
        <v>12</v>
      </c>
      <c r="B13">
        <v>100.07</v>
      </c>
      <c r="C13" s="8">
        <f t="shared" si="0"/>
        <v>9.9940035978240971E-5</v>
      </c>
      <c r="D13" s="8">
        <f t="shared" si="2"/>
        <v>1.4192561757402778E-3</v>
      </c>
      <c r="V13">
        <f t="shared" si="1"/>
        <v>9.9999999999909051E-3</v>
      </c>
    </row>
    <row r="14" spans="1:30">
      <c r="A14">
        <v>13</v>
      </c>
      <c r="B14">
        <v>100.08</v>
      </c>
      <c r="C14" s="8">
        <f t="shared" si="0"/>
        <v>9.9930048965690688E-5</v>
      </c>
      <c r="D14" s="8">
        <f t="shared" si="2"/>
        <v>2.5074724282719511E-7</v>
      </c>
      <c r="V14">
        <f t="shared" si="1"/>
        <v>1.0000000000005116E-2</v>
      </c>
    </row>
    <row r="15" spans="1:30">
      <c r="A15">
        <v>14</v>
      </c>
      <c r="B15">
        <v>100.09</v>
      </c>
      <c r="C15" s="8">
        <f t="shared" si="0"/>
        <v>9.9920063948877313E-5</v>
      </c>
      <c r="D15" s="8">
        <f t="shared" si="2"/>
        <v>2.506971245837699E-7</v>
      </c>
      <c r="V15">
        <f t="shared" si="1"/>
        <v>1.0000000000005116E-2</v>
      </c>
    </row>
    <row r="16" spans="1:30">
      <c r="A16">
        <v>15</v>
      </c>
      <c r="B16" s="4">
        <v>100.1</v>
      </c>
      <c r="C16" s="8">
        <f t="shared" si="0"/>
        <v>9.9910080927134715E-5</v>
      </c>
      <c r="D16" s="8">
        <f t="shared" si="2"/>
        <v>2.5064702361766763E-7</v>
      </c>
      <c r="V16">
        <f t="shared" si="1"/>
        <v>9.9999999999909051E-3</v>
      </c>
    </row>
    <row r="17" spans="1:22">
      <c r="A17">
        <v>16</v>
      </c>
      <c r="B17">
        <v>100.09</v>
      </c>
      <c r="C17" s="8">
        <f t="shared" si="0"/>
        <v>-9.9900099900018802E-5</v>
      </c>
      <c r="D17" s="8">
        <f t="shared" si="2"/>
        <v>1.4186180900375522E-3</v>
      </c>
      <c r="V17">
        <f t="shared" si="1"/>
        <v>-9.9999999999909051E-3</v>
      </c>
    </row>
    <row r="18" spans="1:22">
      <c r="A18">
        <v>17</v>
      </c>
      <c r="B18">
        <v>100.08</v>
      </c>
      <c r="C18" s="8">
        <f t="shared" si="0"/>
        <v>-9.9910080927245737E-5</v>
      </c>
      <c r="D18" s="8">
        <f t="shared" si="2"/>
        <v>1.7374452009605238E-3</v>
      </c>
      <c r="V18">
        <f t="shared" si="1"/>
        <v>-1.0000000000005116E-2</v>
      </c>
    </row>
    <row r="19" spans="1:22">
      <c r="A19">
        <v>18</v>
      </c>
      <c r="B19">
        <v>100.07</v>
      </c>
      <c r="C19" s="8">
        <f t="shared" si="0"/>
        <v>-9.9920063948877313E-5</v>
      </c>
      <c r="D19" s="8">
        <f t="shared" si="2"/>
        <v>1.7374451922865255E-3</v>
      </c>
      <c r="V19">
        <f t="shared" si="1"/>
        <v>-1.0000000000005116E-2</v>
      </c>
    </row>
    <row r="20" spans="1:22">
      <c r="A20">
        <v>19</v>
      </c>
      <c r="B20">
        <v>100.06</v>
      </c>
      <c r="C20" s="8">
        <f t="shared" si="0"/>
        <v>-9.9930048965579665E-5</v>
      </c>
      <c r="D20" s="8">
        <f t="shared" si="2"/>
        <v>1.4186180687889125E-3</v>
      </c>
      <c r="V20">
        <f t="shared" si="1"/>
        <v>-9.9999999999909051E-3</v>
      </c>
    </row>
    <row r="21" spans="1:22">
      <c r="A21">
        <v>20</v>
      </c>
      <c r="B21">
        <v>100.05</v>
      </c>
      <c r="C21" s="8">
        <f t="shared" si="0"/>
        <v>-9.9940035978463015E-5</v>
      </c>
      <c r="D21" s="8">
        <f t="shared" si="2"/>
        <v>2.5059693658453281E-7</v>
      </c>
      <c r="V21">
        <f t="shared" si="1"/>
        <v>-1.0000000000005116E-2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signal1</vt:lpstr>
      <vt:lpstr>position1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Vognsen     DR Musik</dc:creator>
  <cp:lastModifiedBy>Martin Vognsen     DR Musik</cp:lastModifiedBy>
  <dcterms:created xsi:type="dcterms:W3CDTF">2023-05-11T07:11:01Z</dcterms:created>
  <dcterms:modified xsi:type="dcterms:W3CDTF">2023-06-21T08:11:13Z</dcterms:modified>
</cp:coreProperties>
</file>